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867B9EB-5FF6-4F9B-AD65-3274A3F8092C}" xr6:coauthVersionLast="47" xr6:coauthVersionMax="47" xr10:uidLastSave="{00000000-0000-0000-0000-000000000000}"/>
  <bookViews>
    <workbookView xWindow="0" yWindow="0" windowWidth="10800" windowHeight="12900" firstSheet="2" activeTab="3" xr2:uid="{AA573DB6-3952-4F1D-A5F1-0443980FB552}"/>
  </bookViews>
  <sheets>
    <sheet name="Datos" sheetId="2" r:id="rId1"/>
    <sheet name="Graficas" sheetId="3" r:id="rId2"/>
    <sheet name="Interpretacion" sheetId="4" r:id="rId3"/>
    <sheet name="Documentac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A33" i="2"/>
  <c r="A34" i="2"/>
  <c r="A35" i="2"/>
  <c r="B33" i="2"/>
  <c r="B34" i="2"/>
  <c r="B35" i="2"/>
  <c r="B28" i="2"/>
  <c r="A28" i="2"/>
  <c r="C25" i="2"/>
  <c r="C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D23" i="2"/>
  <c r="E23" i="2"/>
  <c r="F23" i="2"/>
  <c r="G23" i="2"/>
  <c r="H23" i="2"/>
  <c r="C23" i="2"/>
</calcChain>
</file>

<file path=xl/sharedStrings.xml><?xml version="1.0" encoding="utf-8"?>
<sst xmlns="http://schemas.openxmlformats.org/spreadsheetml/2006/main" count="94" uniqueCount="67">
  <si>
    <t>Fecha</t>
  </si>
  <si>
    <t>Producto</t>
  </si>
  <si>
    <t>Cantidad Vendida</t>
  </si>
  <si>
    <t>Precio Unitario</t>
  </si>
  <si>
    <t>Ingreso Total</t>
  </si>
  <si>
    <t>Costo Unitario</t>
  </si>
  <si>
    <t>Costo Total</t>
  </si>
  <si>
    <t>Ganancia</t>
  </si>
  <si>
    <t>Cupcakes</t>
  </si>
  <si>
    <t>Brownies</t>
  </si>
  <si>
    <t>Cheesecake (porción)</t>
  </si>
  <si>
    <t>Galletas</t>
  </si>
  <si>
    <t>Torta de chocolate</t>
  </si>
  <si>
    <t>Torta de vainilla</t>
  </si>
  <si>
    <t>Muffins</t>
  </si>
  <si>
    <t>Pay de limón</t>
  </si>
  <si>
    <t>Donas</t>
  </si>
  <si>
    <t>Torta Red Velvet</t>
  </si>
  <si>
    <t>Galletas con chispas</t>
  </si>
  <si>
    <t>Tiramisú (porción)</t>
  </si>
  <si>
    <t>Flan</t>
  </si>
  <si>
    <t>Croissant dulce</t>
  </si>
  <si>
    <t>Torta de zanahoria</t>
  </si>
  <si>
    <t>Cupcakes de vainilla</t>
  </si>
  <si>
    <t>Brownies con nuez</t>
  </si>
  <si>
    <t>Pay de manzana</t>
  </si>
  <si>
    <t>Muffins de arándano</t>
  </si>
  <si>
    <t>Cheesecake de fresa</t>
  </si>
  <si>
    <t>Promedio</t>
  </si>
  <si>
    <t>Hay ganancia o perdida?</t>
  </si>
  <si>
    <t>Buscarv</t>
  </si>
  <si>
    <t>sumar.si.conjunto</t>
  </si>
  <si>
    <t xml:space="preserve">Producto con mayor ganancia </t>
  </si>
  <si>
    <t>Valor con mayor ganancia</t>
  </si>
  <si>
    <t>Ranking Top 3 ganancia</t>
  </si>
  <si>
    <t>Margen de ganancia %</t>
  </si>
  <si>
    <t>Pregunta clave:</t>
  </si>
  <si>
    <t>¿Qué producto genera mayor ganancia?</t>
  </si>
  <si>
    <t>Hallazgos principales:</t>
  </si>
  <si>
    <r>
      <t xml:space="preserve">🥇 El producto más rentable es la </t>
    </r>
    <r>
      <rPr>
        <b/>
        <sz val="11"/>
        <color theme="1"/>
        <rFont val="Aptos Narrow"/>
        <family val="2"/>
        <scheme val="minor"/>
      </rPr>
      <t>Torta de vainilla</t>
    </r>
    <r>
      <rPr>
        <sz val="11"/>
        <color theme="1"/>
        <rFont val="Aptos Narrow"/>
        <family val="2"/>
        <scheme val="minor"/>
      </rPr>
      <t xml:space="preserve"> con $56 de ganancia</t>
    </r>
  </si>
  <si>
    <r>
      <t xml:space="preserve">🥈 Le sigue la </t>
    </r>
    <r>
      <rPr>
        <b/>
        <sz val="11"/>
        <color theme="1"/>
        <rFont val="Aptos Narrow"/>
        <family val="2"/>
        <scheme val="minor"/>
      </rPr>
      <t>Torta de chocolate</t>
    </r>
    <r>
      <rPr>
        <sz val="11"/>
        <color theme="1"/>
        <rFont val="Aptos Narrow"/>
        <family val="2"/>
        <scheme val="minor"/>
      </rPr>
      <t xml:space="preserve"> con $45</t>
    </r>
  </si>
  <si>
    <r>
      <t xml:space="preserve">🥉 El </t>
    </r>
    <r>
      <rPr>
        <b/>
        <sz val="11"/>
        <color theme="1"/>
        <rFont val="Aptos Narrow"/>
        <family val="2"/>
        <scheme val="minor"/>
      </rPr>
      <t>Pay de manzana</t>
    </r>
    <r>
      <rPr>
        <sz val="11"/>
        <color theme="1"/>
        <rFont val="Aptos Narrow"/>
        <family val="2"/>
        <scheme val="minor"/>
      </rPr>
      <t xml:space="preserve"> también con $45</t>
    </r>
  </si>
  <si>
    <t>Las tortas enteras generan mayor ganancia absoluta, aunque se venden en menor cantidad</t>
  </si>
  <si>
    <t>Los productos pequeños como cupcakes y galletas tienen menor ganancia por unidad pero mayor volumen</t>
  </si>
  <si>
    <t>Insight accionable:</t>
  </si>
  <si>
    <t>Priorizar la venta de tortas enteras los fines de semana puede maximizar la ganancia diaria. Considerar combos o promociones de productos pequeños para aumentar el volumen.</t>
  </si>
  <si>
    <t>Campo</t>
  </si>
  <si>
    <t>Contenido</t>
  </si>
  <si>
    <t>Tema elegido</t>
  </si>
  <si>
    <t>Análisis de rentabilidad de productos en una panadería</t>
  </si>
  <si>
    <t>Pregunta clave</t>
  </si>
  <si>
    <t>Fuente de datos</t>
  </si>
  <si>
    <t>Dataset propio creado en Excel con ventas del 1 al 10 de marzo 2026</t>
  </si>
  <si>
    <t>Registros</t>
  </si>
  <si>
    <t>20 productos, 10 días de ventas</t>
  </si>
  <si>
    <t>Funciones usadas</t>
  </si>
  <si>
    <t>PROMEDIO.SI, DESVEST, MAX, MIN.SI.CONJUNTO, INDICE, COINCIDIR, K.ESIMO.MAYOR, BUSCARV</t>
  </si>
  <si>
    <t>Herramientas de IA</t>
  </si>
  <si>
    <t>Herramienta de análisis</t>
  </si>
  <si>
    <t>Microsoft Excel con complemento Herramientas para análisis</t>
  </si>
  <si>
    <t>Conclusiones</t>
  </si>
  <si>
    <t>1. Todos los productos generan ganancia — margen promedio del 50%</t>
  </si>
  <si>
    <t>2. La Torta de vainilla es el producto más rentable con $56 de ganancia</t>
  </si>
  <si>
    <t>3. Las tortas enteras dominan en ganancia absoluta</t>
  </si>
  <si>
    <t>4. Los productos pequeños tienen mayor volumen de ventas pero menor ganancia unitaria</t>
  </si>
  <si>
    <t>5. Se recomienda priorizar tortas los fines de semana para maximizar ingresos</t>
  </si>
  <si>
    <t>Claude AI — generación de fórmulas, interpretación de resultados e insights Chat gpt - Generacion de datos sinteticos sobre ventas en una panaderia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</si>
</sst>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1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Ganancia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Graficas!$C$1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Graficas!$B$2:$B$21</c:f>
              <c:strCache>
                <c:ptCount val="20"/>
                <c:pt idx="0">
                  <c:v>Cupcakes</c:v>
                </c:pt>
                <c:pt idx="1">
                  <c:v>Brownies</c:v>
                </c:pt>
                <c:pt idx="2">
                  <c:v>Cheesecake (porción)</c:v>
                </c:pt>
                <c:pt idx="3">
                  <c:v>Galletas</c:v>
                </c:pt>
                <c:pt idx="4">
                  <c:v>Torta de chocolate</c:v>
                </c:pt>
                <c:pt idx="5">
                  <c:v>Torta de vainilla</c:v>
                </c:pt>
                <c:pt idx="6">
                  <c:v>Muffins</c:v>
                </c:pt>
                <c:pt idx="7">
                  <c:v>Pay de limón</c:v>
                </c:pt>
                <c:pt idx="8">
                  <c:v>Donas</c:v>
                </c:pt>
                <c:pt idx="9">
                  <c:v>Torta Red Velvet</c:v>
                </c:pt>
                <c:pt idx="10">
                  <c:v>Galletas con chispas</c:v>
                </c:pt>
                <c:pt idx="11">
                  <c:v>Tiramisú (porción)</c:v>
                </c:pt>
                <c:pt idx="12">
                  <c:v>Flan</c:v>
                </c:pt>
                <c:pt idx="13">
                  <c:v>Croissant dulce</c:v>
                </c:pt>
                <c:pt idx="14">
                  <c:v>Torta de zanahoria</c:v>
                </c:pt>
                <c:pt idx="15">
                  <c:v>Cupcakes de vainilla</c:v>
                </c:pt>
                <c:pt idx="16">
                  <c:v>Brownies con nuez</c:v>
                </c:pt>
                <c:pt idx="17">
                  <c:v>Pay de manzana</c:v>
                </c:pt>
                <c:pt idx="18">
                  <c:v>Muffins de arándano</c:v>
                </c:pt>
                <c:pt idx="19">
                  <c:v>Cheesecake de fresa</c:v>
                </c:pt>
              </c:strCache>
            </c:strRef>
          </c:cat>
          <c:val>
            <c:numRef>
              <c:f>Graficas!$C$2:$C$21</c:f>
              <c:numCache>
                <c:formatCode>General</c:formatCode>
                <c:ptCount val="20"/>
                <c:pt idx="0">
                  <c:v>18</c:v>
                </c:pt>
                <c:pt idx="1">
                  <c:v>12</c:v>
                </c:pt>
                <c:pt idx="2">
                  <c:v>13.2</c:v>
                </c:pt>
                <c:pt idx="3">
                  <c:v>10.8</c:v>
                </c:pt>
                <c:pt idx="4">
                  <c:v>45</c:v>
                </c:pt>
                <c:pt idx="5">
                  <c:v>56</c:v>
                </c:pt>
                <c:pt idx="6">
                  <c:v>15.3</c:v>
                </c:pt>
                <c:pt idx="7">
                  <c:v>32</c:v>
                </c:pt>
                <c:pt idx="8">
                  <c:v>12.1</c:v>
                </c:pt>
                <c:pt idx="9">
                  <c:v>30</c:v>
                </c:pt>
                <c:pt idx="10">
                  <c:v>13.3</c:v>
                </c:pt>
                <c:pt idx="11">
                  <c:v>15</c:v>
                </c:pt>
                <c:pt idx="12">
                  <c:v>14.4</c:v>
                </c:pt>
                <c:pt idx="13">
                  <c:v>13</c:v>
                </c:pt>
                <c:pt idx="14">
                  <c:v>42.5</c:v>
                </c:pt>
                <c:pt idx="15">
                  <c:v>22.1</c:v>
                </c:pt>
                <c:pt idx="16">
                  <c:v>10.5</c:v>
                </c:pt>
                <c:pt idx="17">
                  <c:v>45</c:v>
                </c:pt>
                <c:pt idx="18">
                  <c:v>15.3</c:v>
                </c:pt>
                <c:pt idx="1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1-4ED7-85F8-EBDB87F9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629760"/>
        <c:axId val="1116628680"/>
      </c:barChart>
      <c:catAx>
        <c:axId val="111662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6628680"/>
        <c:crosses val="autoZero"/>
        <c:auto val="1"/>
        <c:lblAlgn val="ctr"/>
        <c:lblOffset val="100"/>
        <c:noMultiLvlLbl val="0"/>
      </c:catAx>
      <c:valAx>
        <c:axId val="111662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66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 Total por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Graficas!$G$1</c:f>
              <c:strCache>
                <c:ptCount val="1"/>
                <c:pt idx="0">
                  <c:v>Ingreso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Graficas!$F$2:$F$21</c:f>
              <c:numCache>
                <c:formatCode>m/d/yyyy</c:formatCode>
                <c:ptCount val="20"/>
                <c:pt idx="0">
                  <c:v>46082</c:v>
                </c:pt>
                <c:pt idx="1">
                  <c:v>46082</c:v>
                </c:pt>
                <c:pt idx="2">
                  <c:v>46083</c:v>
                </c:pt>
                <c:pt idx="3">
                  <c:v>46083</c:v>
                </c:pt>
                <c:pt idx="4">
                  <c:v>46084</c:v>
                </c:pt>
                <c:pt idx="5">
                  <c:v>46084</c:v>
                </c:pt>
                <c:pt idx="6">
                  <c:v>46085</c:v>
                </c:pt>
                <c:pt idx="7">
                  <c:v>46085</c:v>
                </c:pt>
                <c:pt idx="8">
                  <c:v>46086</c:v>
                </c:pt>
                <c:pt idx="9">
                  <c:v>46086</c:v>
                </c:pt>
                <c:pt idx="10">
                  <c:v>46087</c:v>
                </c:pt>
                <c:pt idx="11">
                  <c:v>46087</c:v>
                </c:pt>
                <c:pt idx="12">
                  <c:v>46088</c:v>
                </c:pt>
                <c:pt idx="13">
                  <c:v>46088</c:v>
                </c:pt>
                <c:pt idx="14">
                  <c:v>46089</c:v>
                </c:pt>
                <c:pt idx="15">
                  <c:v>46089</c:v>
                </c:pt>
                <c:pt idx="16">
                  <c:v>46090</c:v>
                </c:pt>
                <c:pt idx="17">
                  <c:v>46090</c:v>
                </c:pt>
                <c:pt idx="18">
                  <c:v>46091</c:v>
                </c:pt>
                <c:pt idx="19">
                  <c:v>46091</c:v>
                </c:pt>
              </c:numCache>
            </c:numRef>
          </c:cat>
          <c:val>
            <c:numRef>
              <c:f>Graficas!$G$2:$G$21</c:f>
              <c:numCache>
                <c:formatCode>General</c:formatCode>
                <c:ptCount val="20"/>
                <c:pt idx="0">
                  <c:v>30</c:v>
                </c:pt>
                <c:pt idx="1">
                  <c:v>20</c:v>
                </c:pt>
                <c:pt idx="2">
                  <c:v>24</c:v>
                </c:pt>
                <c:pt idx="3">
                  <c:v>18</c:v>
                </c:pt>
                <c:pt idx="4">
                  <c:v>100</c:v>
                </c:pt>
                <c:pt idx="5">
                  <c:v>126</c:v>
                </c:pt>
                <c:pt idx="6">
                  <c:v>25.2</c:v>
                </c:pt>
                <c:pt idx="7">
                  <c:v>64</c:v>
                </c:pt>
                <c:pt idx="8">
                  <c:v>19.8</c:v>
                </c:pt>
                <c:pt idx="9">
                  <c:v>66</c:v>
                </c:pt>
                <c:pt idx="10">
                  <c:v>22.4</c:v>
                </c:pt>
                <c:pt idx="11">
                  <c:v>27</c:v>
                </c:pt>
                <c:pt idx="12">
                  <c:v>24</c:v>
                </c:pt>
                <c:pt idx="13">
                  <c:v>22</c:v>
                </c:pt>
                <c:pt idx="14">
                  <c:v>95</c:v>
                </c:pt>
                <c:pt idx="15">
                  <c:v>37.700000000000003</c:v>
                </c:pt>
                <c:pt idx="16">
                  <c:v>18.899999999999999</c:v>
                </c:pt>
                <c:pt idx="17">
                  <c:v>90</c:v>
                </c:pt>
                <c:pt idx="18">
                  <c:v>27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B-4FA2-A161-FF2B8C938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184616"/>
        <c:axId val="1136177416"/>
      </c:lineChart>
      <c:dateAx>
        <c:axId val="1136184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6177416"/>
        <c:crosses val="autoZero"/>
        <c:auto val="1"/>
        <c:lblOffset val="100"/>
        <c:baseTimeUnit val="days"/>
      </c:dateAx>
      <c:valAx>
        <c:axId val="113617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618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233362</xdr:rowOff>
    </xdr:from>
    <xdr:to>
      <xdr:col>15</xdr:col>
      <xdr:colOff>152400</xdr:colOff>
      <xdr:row>14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337B89-A037-3754-D1C5-F60B01D3E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15</xdr:row>
      <xdr:rowOff>138112</xdr:rowOff>
    </xdr:from>
    <xdr:to>
      <xdr:col>15</xdr:col>
      <xdr:colOff>180975</xdr:colOff>
      <xdr:row>30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1F0882-0FF5-7612-8639-E2995F969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4BE6-F9F4-4FE7-AF3E-14A40913912C}">
  <dimension ref="A1:J35"/>
  <sheetViews>
    <sheetView workbookViewId="0">
      <selection activeCell="E1" sqref="E1:E21"/>
    </sheetView>
  </sheetViews>
  <sheetFormatPr baseColWidth="10" defaultRowHeight="15" x14ac:dyDescent="0.25"/>
  <cols>
    <col min="2" max="2" width="20.2851562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35</v>
      </c>
    </row>
    <row r="2" spans="1:10" x14ac:dyDescent="0.25">
      <c r="A2" s="2">
        <v>46082</v>
      </c>
      <c r="B2" s="3" t="s">
        <v>8</v>
      </c>
      <c r="C2" s="3">
        <v>10</v>
      </c>
      <c r="D2" s="3">
        <v>3</v>
      </c>
      <c r="E2" s="3">
        <v>30</v>
      </c>
      <c r="F2" s="3">
        <v>1.2</v>
      </c>
      <c r="G2" s="3">
        <v>12</v>
      </c>
      <c r="H2" s="3">
        <v>18</v>
      </c>
      <c r="I2" t="str">
        <f>IF(G2&gt;0,"Ganancia","Pérdida")</f>
        <v>Ganancia</v>
      </c>
      <c r="J2" s="4">
        <f>H2/E2</f>
        <v>0.6</v>
      </c>
    </row>
    <row r="3" spans="1:10" x14ac:dyDescent="0.25">
      <c r="A3" s="2">
        <v>46082</v>
      </c>
      <c r="B3" s="3" t="s">
        <v>9</v>
      </c>
      <c r="C3" s="3">
        <v>8</v>
      </c>
      <c r="D3" s="3">
        <v>2.5</v>
      </c>
      <c r="E3" s="3">
        <v>20</v>
      </c>
      <c r="F3" s="3">
        <v>1</v>
      </c>
      <c r="G3" s="3">
        <v>8</v>
      </c>
      <c r="H3" s="3">
        <v>12</v>
      </c>
      <c r="I3" t="str">
        <f t="shared" ref="I3:I21" si="0">IF(G3&gt;0,"Ganancia","Pérdida")</f>
        <v>Ganancia</v>
      </c>
      <c r="J3" s="4">
        <f t="shared" ref="J3:J21" si="1">H3/E3</f>
        <v>0.6</v>
      </c>
    </row>
    <row r="4" spans="1:10" ht="16.5" customHeight="1" x14ac:dyDescent="0.25">
      <c r="A4" s="2">
        <v>46083</v>
      </c>
      <c r="B4" s="3" t="s">
        <v>10</v>
      </c>
      <c r="C4" s="3">
        <v>6</v>
      </c>
      <c r="D4" s="3">
        <v>4</v>
      </c>
      <c r="E4" s="3">
        <v>24</v>
      </c>
      <c r="F4" s="3">
        <v>1.8</v>
      </c>
      <c r="G4" s="3">
        <v>10.8</v>
      </c>
      <c r="H4" s="3">
        <v>13.2</v>
      </c>
      <c r="I4" t="str">
        <f t="shared" si="0"/>
        <v>Ganancia</v>
      </c>
      <c r="J4" s="4">
        <f t="shared" si="1"/>
        <v>0.54999999999999993</v>
      </c>
    </row>
    <row r="5" spans="1:10" x14ac:dyDescent="0.25">
      <c r="A5" s="2">
        <v>46083</v>
      </c>
      <c r="B5" s="3" t="s">
        <v>11</v>
      </c>
      <c r="C5" s="3">
        <v>12</v>
      </c>
      <c r="D5" s="3">
        <v>1.5</v>
      </c>
      <c r="E5" s="3">
        <v>18</v>
      </c>
      <c r="F5" s="3">
        <v>0.6</v>
      </c>
      <c r="G5" s="3">
        <v>7.2</v>
      </c>
      <c r="H5" s="3">
        <v>10.8</v>
      </c>
      <c r="I5" t="str">
        <f t="shared" si="0"/>
        <v>Ganancia</v>
      </c>
      <c r="J5" s="4">
        <f t="shared" si="1"/>
        <v>0.60000000000000009</v>
      </c>
    </row>
    <row r="6" spans="1:10" ht="15.75" customHeight="1" x14ac:dyDescent="0.25">
      <c r="A6" s="2">
        <v>46084</v>
      </c>
      <c r="B6" s="3" t="s">
        <v>12</v>
      </c>
      <c r="C6" s="3">
        <v>5</v>
      </c>
      <c r="D6" s="3">
        <v>20</v>
      </c>
      <c r="E6" s="3">
        <v>100</v>
      </c>
      <c r="F6" s="3">
        <v>11</v>
      </c>
      <c r="G6" s="3">
        <v>55</v>
      </c>
      <c r="H6" s="3">
        <v>45</v>
      </c>
      <c r="I6" t="str">
        <f t="shared" si="0"/>
        <v>Ganancia</v>
      </c>
      <c r="J6" s="4">
        <f t="shared" si="1"/>
        <v>0.45</v>
      </c>
    </row>
    <row r="7" spans="1:10" ht="14.25" customHeight="1" x14ac:dyDescent="0.25">
      <c r="A7" s="2">
        <v>46084</v>
      </c>
      <c r="B7" s="3" t="s">
        <v>13</v>
      </c>
      <c r="C7" s="3">
        <v>7</v>
      </c>
      <c r="D7" s="3">
        <v>18</v>
      </c>
      <c r="E7" s="3">
        <v>126</v>
      </c>
      <c r="F7" s="3">
        <v>10</v>
      </c>
      <c r="G7" s="3">
        <v>70</v>
      </c>
      <c r="H7" s="3">
        <v>56</v>
      </c>
      <c r="I7" t="str">
        <f t="shared" si="0"/>
        <v>Ganancia</v>
      </c>
      <c r="J7" s="4">
        <f t="shared" si="1"/>
        <v>0.44444444444444442</v>
      </c>
    </row>
    <row r="8" spans="1:10" x14ac:dyDescent="0.25">
      <c r="A8" s="2">
        <v>46085</v>
      </c>
      <c r="B8" s="3" t="s">
        <v>14</v>
      </c>
      <c r="C8" s="3">
        <v>9</v>
      </c>
      <c r="D8" s="3">
        <v>2.8</v>
      </c>
      <c r="E8" s="3">
        <v>25.2</v>
      </c>
      <c r="F8" s="3">
        <v>1.1000000000000001</v>
      </c>
      <c r="G8" s="3">
        <v>9.9</v>
      </c>
      <c r="H8" s="3">
        <v>15.3</v>
      </c>
      <c r="I8" t="str">
        <f t="shared" si="0"/>
        <v>Ganancia</v>
      </c>
      <c r="J8" s="4">
        <f t="shared" si="1"/>
        <v>0.60714285714285721</v>
      </c>
    </row>
    <row r="9" spans="1:10" ht="15.75" customHeight="1" x14ac:dyDescent="0.25">
      <c r="A9" s="2">
        <v>46085</v>
      </c>
      <c r="B9" s="3" t="s">
        <v>15</v>
      </c>
      <c r="C9" s="3">
        <v>4</v>
      </c>
      <c r="D9" s="3">
        <v>16</v>
      </c>
      <c r="E9" s="3">
        <v>64</v>
      </c>
      <c r="F9" s="3">
        <v>8</v>
      </c>
      <c r="G9" s="3">
        <v>32</v>
      </c>
      <c r="H9" s="3">
        <v>32</v>
      </c>
      <c r="I9" t="str">
        <f t="shared" si="0"/>
        <v>Ganancia</v>
      </c>
      <c r="J9" s="4">
        <f t="shared" si="1"/>
        <v>0.5</v>
      </c>
    </row>
    <row r="10" spans="1:10" x14ac:dyDescent="0.25">
      <c r="A10" s="2">
        <v>46086</v>
      </c>
      <c r="B10" s="3" t="s">
        <v>16</v>
      </c>
      <c r="C10" s="3">
        <v>11</v>
      </c>
      <c r="D10" s="3">
        <v>1.8</v>
      </c>
      <c r="E10" s="3">
        <v>19.8</v>
      </c>
      <c r="F10" s="3">
        <v>0.7</v>
      </c>
      <c r="G10" s="3">
        <v>7.7</v>
      </c>
      <c r="H10" s="3">
        <v>12.1</v>
      </c>
      <c r="I10" t="str">
        <f t="shared" si="0"/>
        <v>Ganancia</v>
      </c>
      <c r="J10" s="4">
        <f t="shared" si="1"/>
        <v>0.61111111111111105</v>
      </c>
    </row>
    <row r="11" spans="1:10" ht="14.25" customHeight="1" x14ac:dyDescent="0.25">
      <c r="A11" s="2">
        <v>46086</v>
      </c>
      <c r="B11" s="3" t="s">
        <v>17</v>
      </c>
      <c r="C11" s="3">
        <v>3</v>
      </c>
      <c r="D11" s="3">
        <v>22</v>
      </c>
      <c r="E11" s="3">
        <v>66</v>
      </c>
      <c r="F11" s="3">
        <v>12</v>
      </c>
      <c r="G11" s="3">
        <v>36</v>
      </c>
      <c r="H11" s="3">
        <v>30</v>
      </c>
      <c r="I11" t="str">
        <f t="shared" si="0"/>
        <v>Ganancia</v>
      </c>
      <c r="J11" s="4">
        <f t="shared" si="1"/>
        <v>0.45454545454545453</v>
      </c>
    </row>
    <row r="12" spans="1:10" ht="13.5" customHeight="1" x14ac:dyDescent="0.25">
      <c r="A12" s="2">
        <v>46087</v>
      </c>
      <c r="B12" s="3" t="s">
        <v>18</v>
      </c>
      <c r="C12" s="3">
        <v>14</v>
      </c>
      <c r="D12" s="3">
        <v>1.6</v>
      </c>
      <c r="E12" s="3">
        <v>22.4</v>
      </c>
      <c r="F12" s="3">
        <v>0.65</v>
      </c>
      <c r="G12" s="3">
        <v>9.1</v>
      </c>
      <c r="H12" s="3">
        <v>13.3</v>
      </c>
      <c r="I12" t="str">
        <f t="shared" si="0"/>
        <v>Ganancia</v>
      </c>
      <c r="J12" s="4">
        <f t="shared" si="1"/>
        <v>0.59375000000000011</v>
      </c>
    </row>
    <row r="13" spans="1:10" ht="12.75" customHeight="1" x14ac:dyDescent="0.25">
      <c r="A13" s="2">
        <v>46087</v>
      </c>
      <c r="B13" s="3" t="s">
        <v>19</v>
      </c>
      <c r="C13" s="3">
        <v>6</v>
      </c>
      <c r="D13" s="3">
        <v>4.5</v>
      </c>
      <c r="E13" s="3">
        <v>27</v>
      </c>
      <c r="F13" s="3">
        <v>2</v>
      </c>
      <c r="G13" s="3">
        <v>12</v>
      </c>
      <c r="H13" s="3">
        <v>15</v>
      </c>
      <c r="I13" t="str">
        <f t="shared" si="0"/>
        <v>Ganancia</v>
      </c>
      <c r="J13" s="4">
        <f t="shared" si="1"/>
        <v>0.55555555555555558</v>
      </c>
    </row>
    <row r="14" spans="1:10" x14ac:dyDescent="0.25">
      <c r="A14" s="2">
        <v>46088</v>
      </c>
      <c r="B14" s="3" t="s">
        <v>20</v>
      </c>
      <c r="C14" s="3">
        <v>8</v>
      </c>
      <c r="D14" s="3">
        <v>3</v>
      </c>
      <c r="E14" s="3">
        <v>24</v>
      </c>
      <c r="F14" s="3">
        <v>1.2</v>
      </c>
      <c r="G14" s="3">
        <v>9.6</v>
      </c>
      <c r="H14" s="3">
        <v>14.4</v>
      </c>
      <c r="I14" t="str">
        <f t="shared" si="0"/>
        <v>Ganancia</v>
      </c>
      <c r="J14" s="4">
        <f t="shared" si="1"/>
        <v>0.6</v>
      </c>
    </row>
    <row r="15" spans="1:10" ht="12.75" customHeight="1" x14ac:dyDescent="0.25">
      <c r="A15" s="2">
        <v>46088</v>
      </c>
      <c r="B15" s="3" t="s">
        <v>21</v>
      </c>
      <c r="C15" s="3">
        <v>10</v>
      </c>
      <c r="D15" s="3">
        <v>2.2000000000000002</v>
      </c>
      <c r="E15" s="3">
        <v>22</v>
      </c>
      <c r="F15" s="3">
        <v>0.9</v>
      </c>
      <c r="G15" s="3">
        <v>9</v>
      </c>
      <c r="H15" s="3">
        <v>13</v>
      </c>
      <c r="I15" t="str">
        <f t="shared" si="0"/>
        <v>Ganancia</v>
      </c>
      <c r="J15" s="4">
        <f t="shared" si="1"/>
        <v>0.59090909090909094</v>
      </c>
    </row>
    <row r="16" spans="1:10" ht="12.75" customHeight="1" x14ac:dyDescent="0.25">
      <c r="A16" s="2">
        <v>46089</v>
      </c>
      <c r="B16" s="3" t="s">
        <v>22</v>
      </c>
      <c r="C16" s="3">
        <v>5</v>
      </c>
      <c r="D16" s="3">
        <v>19</v>
      </c>
      <c r="E16" s="3">
        <v>95</v>
      </c>
      <c r="F16" s="3">
        <v>10.5</v>
      </c>
      <c r="G16" s="3">
        <v>52.5</v>
      </c>
      <c r="H16" s="3">
        <v>42.5</v>
      </c>
      <c r="I16" t="str">
        <f t="shared" si="0"/>
        <v>Ganancia</v>
      </c>
      <c r="J16" s="4">
        <f t="shared" si="1"/>
        <v>0.44736842105263158</v>
      </c>
    </row>
    <row r="17" spans="1:10" ht="12.75" customHeight="1" x14ac:dyDescent="0.25">
      <c r="A17" s="2">
        <v>46089</v>
      </c>
      <c r="B17" s="3" t="s">
        <v>23</v>
      </c>
      <c r="C17" s="3">
        <v>13</v>
      </c>
      <c r="D17" s="3">
        <v>2.9</v>
      </c>
      <c r="E17" s="3">
        <v>37.700000000000003</v>
      </c>
      <c r="F17" s="3">
        <v>1.2</v>
      </c>
      <c r="G17" s="3">
        <v>15.6</v>
      </c>
      <c r="H17" s="3">
        <v>22.1</v>
      </c>
      <c r="I17" t="str">
        <f t="shared" si="0"/>
        <v>Ganancia</v>
      </c>
      <c r="J17" s="4">
        <f t="shared" si="1"/>
        <v>0.58620689655172409</v>
      </c>
    </row>
    <row r="18" spans="1:10" ht="13.5" customHeight="1" x14ac:dyDescent="0.25">
      <c r="A18" s="2">
        <v>46090</v>
      </c>
      <c r="B18" s="3" t="s">
        <v>24</v>
      </c>
      <c r="C18" s="3">
        <v>7</v>
      </c>
      <c r="D18" s="3">
        <v>2.7</v>
      </c>
      <c r="E18" s="3">
        <v>18.899999999999999</v>
      </c>
      <c r="F18" s="3">
        <v>1.2</v>
      </c>
      <c r="G18" s="3">
        <v>8.4</v>
      </c>
      <c r="H18" s="3">
        <v>10.5</v>
      </c>
      <c r="I18" t="str">
        <f t="shared" si="0"/>
        <v>Ganancia</v>
      </c>
      <c r="J18" s="4">
        <f t="shared" si="1"/>
        <v>0.55555555555555558</v>
      </c>
    </row>
    <row r="19" spans="1:10" ht="14.25" customHeight="1" x14ac:dyDescent="0.25">
      <c r="A19" s="2">
        <v>46090</v>
      </c>
      <c r="B19" s="3" t="s">
        <v>25</v>
      </c>
      <c r="C19" s="3">
        <v>6</v>
      </c>
      <c r="D19" s="3">
        <v>15</v>
      </c>
      <c r="E19" s="3">
        <v>90</v>
      </c>
      <c r="F19" s="3">
        <v>7.5</v>
      </c>
      <c r="G19" s="3">
        <v>45</v>
      </c>
      <c r="H19" s="3">
        <v>45</v>
      </c>
      <c r="I19" t="str">
        <f t="shared" si="0"/>
        <v>Ganancia</v>
      </c>
      <c r="J19" s="4">
        <f t="shared" si="1"/>
        <v>0.5</v>
      </c>
    </row>
    <row r="20" spans="1:10" ht="13.5" customHeight="1" x14ac:dyDescent="0.25">
      <c r="A20" s="2">
        <v>46091</v>
      </c>
      <c r="B20" s="3" t="s">
        <v>26</v>
      </c>
      <c r="C20" s="3">
        <v>9</v>
      </c>
      <c r="D20" s="3">
        <v>3</v>
      </c>
      <c r="E20" s="3">
        <v>27</v>
      </c>
      <c r="F20" s="3">
        <v>1.3</v>
      </c>
      <c r="G20" s="3">
        <v>11.7</v>
      </c>
      <c r="H20" s="3">
        <v>15.3</v>
      </c>
      <c r="I20" t="str">
        <f t="shared" si="0"/>
        <v>Ganancia</v>
      </c>
      <c r="J20" s="4">
        <f t="shared" si="1"/>
        <v>0.56666666666666665</v>
      </c>
    </row>
    <row r="21" spans="1:10" ht="12" customHeight="1" x14ac:dyDescent="0.25">
      <c r="A21" s="2">
        <v>46091</v>
      </c>
      <c r="B21" s="3" t="s">
        <v>27</v>
      </c>
      <c r="C21" s="3">
        <v>4</v>
      </c>
      <c r="D21" s="3">
        <v>21</v>
      </c>
      <c r="E21" s="3">
        <v>84</v>
      </c>
      <c r="F21" s="3">
        <v>12</v>
      </c>
      <c r="G21" s="3">
        <v>48</v>
      </c>
      <c r="H21" s="3">
        <v>36</v>
      </c>
      <c r="I21" t="str">
        <f t="shared" si="0"/>
        <v>Ganancia</v>
      </c>
      <c r="J21" s="4">
        <f t="shared" si="1"/>
        <v>0.42857142857142855</v>
      </c>
    </row>
    <row r="23" spans="1:10" x14ac:dyDescent="0.25">
      <c r="B23" s="3" t="s">
        <v>28</v>
      </c>
      <c r="C23">
        <f>AVERAGE(C2:C21)</f>
        <v>7.85</v>
      </c>
      <c r="D23">
        <f t="shared" ref="D23:H23" si="2">AVERAGE(D2:D21)</f>
        <v>8.3249999999999993</v>
      </c>
      <c r="E23">
        <f t="shared" si="2"/>
        <v>47.05</v>
      </c>
      <c r="F23">
        <f t="shared" si="2"/>
        <v>4.2925000000000004</v>
      </c>
      <c r="G23">
        <f t="shared" si="2"/>
        <v>23.475000000000001</v>
      </c>
      <c r="H23">
        <f t="shared" si="2"/>
        <v>23.574999999999999</v>
      </c>
    </row>
    <row r="24" spans="1:10" x14ac:dyDescent="0.25">
      <c r="B24" s="3" t="s">
        <v>30</v>
      </c>
      <c r="C24">
        <f>VLOOKUP(B2,B2:H21,7,FALSE)</f>
        <v>18</v>
      </c>
    </row>
    <row r="25" spans="1:10" x14ac:dyDescent="0.25">
      <c r="B25" s="3" t="s">
        <v>31</v>
      </c>
      <c r="C25">
        <f>SUMIFS(D2:D21,A2:A21,"Cupcakes",B2:B21,"&lt;5")</f>
        <v>0</v>
      </c>
    </row>
    <row r="27" spans="1:10" ht="30" x14ac:dyDescent="0.25">
      <c r="A27" t="s">
        <v>32</v>
      </c>
      <c r="B27" s="3" t="s">
        <v>33</v>
      </c>
    </row>
    <row r="28" spans="1:10" x14ac:dyDescent="0.25">
      <c r="A28" t="str">
        <f>INDEX($B$2:$B$21,MATCH(MAX($H$2:$H$21),$H$2:$H$21,0))</f>
        <v>Torta de vainilla</v>
      </c>
      <c r="B28">
        <f>MAX($H$2:$H$21)</f>
        <v>56</v>
      </c>
    </row>
    <row r="31" spans="1:10" x14ac:dyDescent="0.25">
      <c r="A31" t="s">
        <v>34</v>
      </c>
    </row>
    <row r="32" spans="1:10" x14ac:dyDescent="0.25">
      <c r="A32" t="s">
        <v>1</v>
      </c>
      <c r="B32" t="s">
        <v>7</v>
      </c>
    </row>
    <row r="33" spans="1:2" x14ac:dyDescent="0.25">
      <c r="A33" t="str">
        <f>INDEX($B$2:$B$21,MATCH(LARGE($H$2:$H$21,1),$H$2:$H$21,0))</f>
        <v>Torta de vainilla</v>
      </c>
      <c r="B33">
        <f>LARGE($H$2:$H$21,1)</f>
        <v>56</v>
      </c>
    </row>
    <row r="34" spans="1:2" x14ac:dyDescent="0.25">
      <c r="A34" t="str">
        <f>INDEX($B$2:$B$21,MATCH(LARGE($H$2:$H$21,2),$H$2:$H$21,0))</f>
        <v>Torta de chocolate</v>
      </c>
      <c r="B34">
        <f>LARGE($H$2:$H$21,2)</f>
        <v>45</v>
      </c>
    </row>
    <row r="35" spans="1:2" x14ac:dyDescent="0.25">
      <c r="A35" t="str">
        <f>INDEX($B$2:$B$21,MATCH(LARGE($H$2:$H$21,3),$H$2:$H$21,0))</f>
        <v>Torta de chocolate</v>
      </c>
      <c r="B35">
        <f>LARGE($H$2:$H$21,3)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D881-6464-4473-9712-382135116DFA}">
  <dimension ref="B1:G21"/>
  <sheetViews>
    <sheetView topLeftCell="B3" workbookViewId="0">
      <selection activeCell="I22" sqref="I22"/>
    </sheetView>
  </sheetViews>
  <sheetFormatPr baseColWidth="10" defaultRowHeight="15" x14ac:dyDescent="0.25"/>
  <cols>
    <col min="2" max="2" width="22.140625" customWidth="1"/>
  </cols>
  <sheetData>
    <row r="1" spans="2:7" ht="30" x14ac:dyDescent="0.25">
      <c r="B1" s="1" t="s">
        <v>1</v>
      </c>
      <c r="C1" s="1" t="s">
        <v>7</v>
      </c>
      <c r="F1" s="1" t="s">
        <v>0</v>
      </c>
      <c r="G1" s="1" t="s">
        <v>4</v>
      </c>
    </row>
    <row r="2" spans="2:7" x14ac:dyDescent="0.25">
      <c r="B2" s="3" t="s">
        <v>8</v>
      </c>
      <c r="C2" s="3">
        <v>18</v>
      </c>
      <c r="F2" s="2">
        <v>46082</v>
      </c>
      <c r="G2" s="3">
        <v>30</v>
      </c>
    </row>
    <row r="3" spans="2:7" x14ac:dyDescent="0.25">
      <c r="B3" s="3" t="s">
        <v>9</v>
      </c>
      <c r="C3" s="3">
        <v>12</v>
      </c>
      <c r="F3" s="2">
        <v>46082</v>
      </c>
      <c r="G3" s="3">
        <v>20</v>
      </c>
    </row>
    <row r="4" spans="2:7" x14ac:dyDescent="0.25">
      <c r="B4" s="3" t="s">
        <v>10</v>
      </c>
      <c r="C4" s="3">
        <v>13.2</v>
      </c>
      <c r="F4" s="2">
        <v>46083</v>
      </c>
      <c r="G4" s="3">
        <v>24</v>
      </c>
    </row>
    <row r="5" spans="2:7" x14ac:dyDescent="0.25">
      <c r="B5" s="3" t="s">
        <v>11</v>
      </c>
      <c r="C5" s="3">
        <v>10.8</v>
      </c>
      <c r="F5" s="2">
        <v>46083</v>
      </c>
      <c r="G5" s="3">
        <v>18</v>
      </c>
    </row>
    <row r="6" spans="2:7" x14ac:dyDescent="0.25">
      <c r="B6" s="3" t="s">
        <v>12</v>
      </c>
      <c r="C6" s="3">
        <v>45</v>
      </c>
      <c r="F6" s="2">
        <v>46084</v>
      </c>
      <c r="G6" s="3">
        <v>100</v>
      </c>
    </row>
    <row r="7" spans="2:7" x14ac:dyDescent="0.25">
      <c r="B7" s="3" t="s">
        <v>13</v>
      </c>
      <c r="C7" s="3">
        <v>56</v>
      </c>
      <c r="F7" s="2">
        <v>46084</v>
      </c>
      <c r="G7" s="3">
        <v>126</v>
      </c>
    </row>
    <row r="8" spans="2:7" x14ac:dyDescent="0.25">
      <c r="B8" s="3" t="s">
        <v>14</v>
      </c>
      <c r="C8" s="3">
        <v>15.3</v>
      </c>
      <c r="F8" s="2">
        <v>46085</v>
      </c>
      <c r="G8" s="3">
        <v>25.2</v>
      </c>
    </row>
    <row r="9" spans="2:7" x14ac:dyDescent="0.25">
      <c r="B9" s="3" t="s">
        <v>15</v>
      </c>
      <c r="C9" s="3">
        <v>32</v>
      </c>
      <c r="F9" s="2">
        <v>46085</v>
      </c>
      <c r="G9" s="3">
        <v>64</v>
      </c>
    </row>
    <row r="10" spans="2:7" x14ac:dyDescent="0.25">
      <c r="B10" s="3" t="s">
        <v>16</v>
      </c>
      <c r="C10" s="3">
        <v>12.1</v>
      </c>
      <c r="F10" s="2">
        <v>46086</v>
      </c>
      <c r="G10" s="3">
        <v>19.8</v>
      </c>
    </row>
    <row r="11" spans="2:7" x14ac:dyDescent="0.25">
      <c r="B11" s="3" t="s">
        <v>17</v>
      </c>
      <c r="C11" s="3">
        <v>30</v>
      </c>
      <c r="F11" s="2">
        <v>46086</v>
      </c>
      <c r="G11" s="3">
        <v>66</v>
      </c>
    </row>
    <row r="12" spans="2:7" x14ac:dyDescent="0.25">
      <c r="B12" s="3" t="s">
        <v>18</v>
      </c>
      <c r="C12" s="3">
        <v>13.3</v>
      </c>
      <c r="F12" s="2">
        <v>46087</v>
      </c>
      <c r="G12" s="3">
        <v>22.4</v>
      </c>
    </row>
    <row r="13" spans="2:7" x14ac:dyDescent="0.25">
      <c r="B13" s="3" t="s">
        <v>19</v>
      </c>
      <c r="C13" s="3">
        <v>15</v>
      </c>
      <c r="F13" s="2">
        <v>46087</v>
      </c>
      <c r="G13" s="3">
        <v>27</v>
      </c>
    </row>
    <row r="14" spans="2:7" x14ac:dyDescent="0.25">
      <c r="B14" s="3" t="s">
        <v>20</v>
      </c>
      <c r="C14" s="3">
        <v>14.4</v>
      </c>
      <c r="F14" s="2">
        <v>46088</v>
      </c>
      <c r="G14" s="3">
        <v>24</v>
      </c>
    </row>
    <row r="15" spans="2:7" x14ac:dyDescent="0.25">
      <c r="B15" s="3" t="s">
        <v>21</v>
      </c>
      <c r="C15" s="3">
        <v>13</v>
      </c>
      <c r="F15" s="2">
        <v>46088</v>
      </c>
      <c r="G15" s="3">
        <v>22</v>
      </c>
    </row>
    <row r="16" spans="2:7" x14ac:dyDescent="0.25">
      <c r="B16" s="3" t="s">
        <v>22</v>
      </c>
      <c r="C16" s="3">
        <v>42.5</v>
      </c>
      <c r="F16" s="2">
        <v>46089</v>
      </c>
      <c r="G16" s="3">
        <v>95</v>
      </c>
    </row>
    <row r="17" spans="2:7" x14ac:dyDescent="0.25">
      <c r="B17" s="3" t="s">
        <v>23</v>
      </c>
      <c r="C17" s="3">
        <v>22.1</v>
      </c>
      <c r="F17" s="2">
        <v>46089</v>
      </c>
      <c r="G17" s="3">
        <v>37.700000000000003</v>
      </c>
    </row>
    <row r="18" spans="2:7" x14ac:dyDescent="0.25">
      <c r="B18" s="3" t="s">
        <v>24</v>
      </c>
      <c r="C18" s="3">
        <v>10.5</v>
      </c>
      <c r="F18" s="2">
        <v>46090</v>
      </c>
      <c r="G18" s="3">
        <v>18.899999999999999</v>
      </c>
    </row>
    <row r="19" spans="2:7" x14ac:dyDescent="0.25">
      <c r="B19" s="3" t="s">
        <v>25</v>
      </c>
      <c r="C19" s="3">
        <v>45</v>
      </c>
      <c r="F19" s="2">
        <v>46090</v>
      </c>
      <c r="G19" s="3">
        <v>90</v>
      </c>
    </row>
    <row r="20" spans="2:7" x14ac:dyDescent="0.25">
      <c r="B20" s="3" t="s">
        <v>26</v>
      </c>
      <c r="C20" s="3">
        <v>15.3</v>
      </c>
      <c r="F20" s="2">
        <v>46091</v>
      </c>
      <c r="G20" s="3">
        <v>27</v>
      </c>
    </row>
    <row r="21" spans="2:7" x14ac:dyDescent="0.25">
      <c r="B21" s="3" t="s">
        <v>27</v>
      </c>
      <c r="C21" s="3">
        <v>36</v>
      </c>
      <c r="F21" s="2">
        <v>46091</v>
      </c>
      <c r="G21" s="3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206C-2FE3-441A-ABD5-00F5D3AED132}">
  <dimension ref="A2:A16"/>
  <sheetViews>
    <sheetView workbookViewId="0">
      <selection activeCell="A12" sqref="A12"/>
    </sheetView>
  </sheetViews>
  <sheetFormatPr baseColWidth="10" defaultRowHeight="15" x14ac:dyDescent="0.25"/>
  <sheetData>
    <row r="2" spans="1:1" x14ac:dyDescent="0.25">
      <c r="A2" s="5" t="s">
        <v>36</v>
      </c>
    </row>
    <row r="3" spans="1:1" x14ac:dyDescent="0.25">
      <c r="A3" s="6"/>
    </row>
    <row r="4" spans="1:1" x14ac:dyDescent="0.25">
      <c r="A4" s="6" t="s">
        <v>37</v>
      </c>
    </row>
    <row r="6" spans="1:1" x14ac:dyDescent="0.25">
      <c r="A6" s="5" t="s">
        <v>38</v>
      </c>
    </row>
    <row r="7" spans="1:1" x14ac:dyDescent="0.25">
      <c r="A7" s="6"/>
    </row>
    <row r="8" spans="1:1" x14ac:dyDescent="0.25">
      <c r="A8" s="6" t="s">
        <v>39</v>
      </c>
    </row>
    <row r="9" spans="1:1" x14ac:dyDescent="0.25">
      <c r="A9" s="6" t="s">
        <v>40</v>
      </c>
    </row>
    <row r="10" spans="1:1" x14ac:dyDescent="0.25">
      <c r="A10" s="6" t="s">
        <v>41</v>
      </c>
    </row>
    <row r="11" spans="1:1" x14ac:dyDescent="0.25">
      <c r="A11" s="6" t="s">
        <v>42</v>
      </c>
    </row>
    <row r="12" spans="1:1" x14ac:dyDescent="0.25">
      <c r="A12" s="6" t="s">
        <v>43</v>
      </c>
    </row>
    <row r="14" spans="1:1" x14ac:dyDescent="0.25">
      <c r="A14" s="5" t="s">
        <v>44</v>
      </c>
    </row>
    <row r="15" spans="1:1" x14ac:dyDescent="0.25">
      <c r="A15" s="6"/>
    </row>
    <row r="16" spans="1:1" x14ac:dyDescent="0.25">
      <c r="A16" s="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E243-43FC-4F35-AEB3-33DCF4B36116}">
  <dimension ref="A2:G15"/>
  <sheetViews>
    <sheetView tabSelected="1" topLeftCell="A6" workbookViewId="0">
      <selection activeCell="D8" sqref="D8"/>
    </sheetView>
  </sheetViews>
  <sheetFormatPr baseColWidth="10" defaultRowHeight="15" x14ac:dyDescent="0.25"/>
  <cols>
    <col min="1" max="1" width="20.140625" customWidth="1"/>
    <col min="2" max="2" width="26.140625" customWidth="1"/>
  </cols>
  <sheetData>
    <row r="2" spans="1:7" x14ac:dyDescent="0.25">
      <c r="A2" s="8" t="s">
        <v>46</v>
      </c>
      <c r="B2" s="8" t="s">
        <v>47</v>
      </c>
    </row>
    <row r="3" spans="1:7" ht="60" x14ac:dyDescent="0.25">
      <c r="A3" s="9" t="s">
        <v>48</v>
      </c>
      <c r="B3" s="7" t="s">
        <v>49</v>
      </c>
    </row>
    <row r="4" spans="1:7" ht="30" x14ac:dyDescent="0.25">
      <c r="A4" s="9" t="s">
        <v>50</v>
      </c>
      <c r="B4" s="7" t="s">
        <v>37</v>
      </c>
    </row>
    <row r="5" spans="1:7" ht="45" x14ac:dyDescent="0.25">
      <c r="A5" s="9" t="s">
        <v>51</v>
      </c>
      <c r="B5" s="7" t="s">
        <v>52</v>
      </c>
    </row>
    <row r="6" spans="1:7" ht="30" x14ac:dyDescent="0.25">
      <c r="A6" s="9" t="s">
        <v>53</v>
      </c>
      <c r="B6" s="7" t="s">
        <v>54</v>
      </c>
    </row>
    <row r="7" spans="1:7" ht="90" x14ac:dyDescent="0.25">
      <c r="A7" s="9" t="s">
        <v>55</v>
      </c>
      <c r="B7" s="7" t="s">
        <v>56</v>
      </c>
    </row>
    <row r="8" spans="1:7" ht="105" x14ac:dyDescent="0.25">
      <c r="A8" s="9" t="s">
        <v>57</v>
      </c>
      <c r="B8" s="7" t="s">
        <v>66</v>
      </c>
    </row>
    <row r="9" spans="1:7" ht="60" x14ac:dyDescent="0.25">
      <c r="A9" s="9" t="s">
        <v>58</v>
      </c>
      <c r="B9" s="7" t="s">
        <v>59</v>
      </c>
    </row>
    <row r="11" spans="1:7" ht="13.5" customHeight="1" x14ac:dyDescent="0.25">
      <c r="A11" s="13" t="s">
        <v>60</v>
      </c>
      <c r="B11" s="11" t="s">
        <v>61</v>
      </c>
      <c r="C11" s="11"/>
      <c r="D11" s="11"/>
      <c r="E11" s="11"/>
      <c r="F11" s="11"/>
    </row>
    <row r="12" spans="1:7" x14ac:dyDescent="0.25">
      <c r="B12" s="12" t="s">
        <v>62</v>
      </c>
      <c r="C12" s="14"/>
      <c r="D12" s="14"/>
      <c r="E12" s="14"/>
      <c r="F12" s="14"/>
    </row>
    <row r="13" spans="1:7" x14ac:dyDescent="0.25">
      <c r="B13" s="15" t="s">
        <v>63</v>
      </c>
      <c r="C13" s="15"/>
      <c r="D13" s="15"/>
      <c r="E13" s="15"/>
      <c r="F13" s="15"/>
    </row>
    <row r="14" spans="1:7" x14ac:dyDescent="0.25">
      <c r="B14" s="10" t="s">
        <v>64</v>
      </c>
      <c r="C14" s="10"/>
      <c r="D14" s="10"/>
      <c r="E14" s="10"/>
      <c r="F14" s="10"/>
      <c r="G14" s="10"/>
    </row>
    <row r="15" spans="1:7" x14ac:dyDescent="0.25">
      <c r="B15" s="10" t="s">
        <v>65</v>
      </c>
      <c r="C15" s="10"/>
      <c r="D15" s="10"/>
      <c r="E15" s="10"/>
      <c r="F15" s="10"/>
      <c r="G15" s="10"/>
    </row>
  </sheetData>
  <mergeCells count="3">
    <mergeCell ref="B13:F13"/>
    <mergeCell ref="B14:G14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Graficas</vt:lpstr>
      <vt:lpstr>Interpretacion</vt:lpstr>
      <vt:lpstr>Documentacion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</dc:creator>
  <cp:lastModifiedBy>MARIA JULIANA SALAMANCA BAUTISTA</cp:lastModifiedBy>
  <dcterms:created xsi:type="dcterms:W3CDTF">2026-03-12T20:23:21Z</dcterms:created>
  <dcterms:modified xsi:type="dcterms:W3CDTF">2026-03-23T04:53:36Z</dcterms:modified>
</cp:coreProperties>
</file>